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5da9265fde409db/Desktop/My details/My works/Msc Business analytics/Operations/Re-Group assignment/"/>
    </mc:Choice>
  </mc:AlternateContent>
  <xr:revisionPtr revIDLastSave="41" documentId="13_ncr:1_{4C19D669-9BC4-4B58-A430-7C03FA3E5A95}" xr6:coauthVersionLast="47" xr6:coauthVersionMax="47" xr10:uidLastSave="{CAE1EBE8-348D-4BFB-AE6A-F5AFE2886771}"/>
  <bookViews>
    <workbookView xWindow="-108" yWindow="-108" windowWidth="23256" windowHeight="12456" xr2:uid="{00000000-000D-0000-FFFF-FFFF00000000}"/>
  </bookViews>
  <sheets>
    <sheet name="BCFC_Solved" sheetId="1" r:id="rId1"/>
    <sheet name="Answer Report 1" sheetId="6" r:id="rId2"/>
    <sheet name="Sensitivity Report 1" sheetId="7" r:id="rId3"/>
    <sheet name="Limits Report 1" sheetId="8" r:id="rId4"/>
  </sheets>
  <definedNames>
    <definedName name="solver_adj" localSheetId="0" hidden="1">BCFC_Solved!$B$14:$B$15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BCFC_Solved!$B$18</definedName>
    <definedName name="solver_lhs2" localSheetId="0" hidden="1">BCFC_Solved!$B$19</definedName>
    <definedName name="solver_lhs3" localSheetId="0" hidden="1">BCFC_Solved!$B$20</definedName>
    <definedName name="solver_lhs4" localSheetId="0" hidden="1">BCFC_Solved!$B$21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BCFC_Solved!$B$26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27500</definedName>
    <definedName name="solver_rhs2" localSheetId="0" hidden="1">9000</definedName>
    <definedName name="solver_rhs3" localSheetId="0" hidden="1">25000</definedName>
    <definedName name="solver_rhs4" localSheetId="0" hidden="1">35000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ho" localSheetId="3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B24" i="1"/>
  <c r="B21" i="1"/>
  <c r="B18" i="1"/>
  <c r="B20" i="1"/>
  <c r="B19" i="1"/>
  <c r="B26" i="1" l="1"/>
</calcChain>
</file>

<file path=xl/sharedStrings.xml><?xml version="1.0" encoding="utf-8"?>
<sst xmlns="http://schemas.openxmlformats.org/spreadsheetml/2006/main" count="188" uniqueCount="115">
  <si>
    <t>VIP Price</t>
  </si>
  <si>
    <t>£</t>
  </si>
  <si>
    <t>Regular Price</t>
  </si>
  <si>
    <t>Stadium Capacity</t>
  </si>
  <si>
    <t>seats</t>
  </si>
  <si>
    <t>Max VIP</t>
  </si>
  <si>
    <t>Max Regular Demand</t>
  </si>
  <si>
    <t>T-shirts per VIP</t>
  </si>
  <si>
    <t>qty</t>
  </si>
  <si>
    <t>T-shirts per Regular</t>
  </si>
  <si>
    <t>Total T-shirts</t>
  </si>
  <si>
    <t>VIP Tickets (V)</t>
  </si>
  <si>
    <t>Regular Tickets (R)</t>
  </si>
  <si>
    <t>Seating: V+R</t>
  </si>
  <si>
    <t>VIP Limit: V</t>
  </si>
  <si>
    <t>BINDING</t>
  </si>
  <si>
    <t>Regular: R</t>
  </si>
  <si>
    <t>T-shirts: 2V+R</t>
  </si>
  <si>
    <t>VIP Revenue</t>
  </si>
  <si>
    <t>Regular Revenue</t>
  </si>
  <si>
    <t>TOTAL REVENUE</t>
  </si>
  <si>
    <t>Part C: Shadow Price</t>
  </si>
  <si>
    <t>Part D: Additional Revenue (36k shirts)</t>
  </si>
  <si>
    <t>£100,000</t>
  </si>
  <si>
    <t>LINEAR PROGRAMMING FORMULATION</t>
  </si>
  <si>
    <t>Objective Function:</t>
  </si>
  <si>
    <t>Maximize Z = 350V + 100R</t>
  </si>
  <si>
    <t>Constraints:</t>
  </si>
  <si>
    <t>Microsoft Excel 16.0 Answer Report</t>
  </si>
  <si>
    <t>Worksheet: [BCFC_SOLVED (1).xlsx]BCFC_Solved</t>
  </si>
  <si>
    <t>Result: Solver found a solution.  All Constraints and optimality conditions are satisfied.</t>
  </si>
  <si>
    <t>Solver Engine</t>
  </si>
  <si>
    <t>Engine: Simplex LP</t>
  </si>
  <si>
    <t>Iterations: 2 Subproblems: 0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</si>
  <si>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</si>
  <si>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</si>
  <si>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</si>
  <si>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</si>
  <si>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</si>
  <si>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</si>
  <si>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</si>
  <si>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</si>
  <si>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</si>
  <si>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</si>
  <si>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</si>
  <si>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</si>
  <si>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</si>
  <si>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</si>
  <si>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</si>
  <si>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$B$26</t>
  </si>
  <si>
    <t>$B$14</t>
  </si>
  <si>
    <t>Contin</t>
  </si>
  <si>
    <t>$B$15</t>
  </si>
  <si>
    <t>$B$18</t>
  </si>
  <si>
    <t>Not Binding</t>
  </si>
  <si>
    <t>$B$19</t>
  </si>
  <si>
    <t>Binding</t>
  </si>
  <si>
    <t>$B$20</t>
  </si>
  <si>
    <t>$B$21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</si>
  <si>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</si>
  <si>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</si>
  <si>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</si>
  <si>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</si>
  <si>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</si>
  <si>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</si>
  <si>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</si>
  <si>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</si>
  <si>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</si>
  <si>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</si>
  <si>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</si>
  <si>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</si>
  <si>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</si>
  <si>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</si>
  <si>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</si>
  <si>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</si>
  <si>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</si>
  <si>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</si>
  <si>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</si>
  <si>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</si>
  <si>
    <t>NOT BINDING</t>
  </si>
  <si>
    <t>Report Created: 12/24/2025 1:19:28 AM</t>
  </si>
  <si>
    <t>Solution Time: 0.015 Seconds.</t>
  </si>
  <si>
    <t>$B$18&lt;=27500</t>
  </si>
  <si>
    <t>$B$19&lt;=9000</t>
  </si>
  <si>
    <t>$B$20&lt;=25000</t>
  </si>
  <si>
    <t>$B$21&lt;=35000</t>
  </si>
  <si>
    <t>=B24+B25</t>
  </si>
  <si>
    <t>=B14+B15</t>
  </si>
  <si>
    <t>=B14</t>
  </si>
  <si>
    <t>=B15</t>
  </si>
  <si>
    <t>=2*B14+B15</t>
  </si>
  <si>
    <t>£100</t>
  </si>
  <si>
    <t>Variables Non- Negative</t>
  </si>
  <si>
    <t>1. VIP + REGULAR ≤ 27,500</t>
  </si>
  <si>
    <t>2. VIP ≤ 9,000</t>
  </si>
  <si>
    <t>3. REGULAR ≤ 25,000</t>
  </si>
  <si>
    <t>BCFC TICKET OPTIMIZATION</t>
  </si>
  <si>
    <t>4. 2 * VIP + REGULAR ≤ 35,000</t>
  </si>
  <si>
    <t>DECISION VARIABLES (OPTIMIZED)                       VALUE</t>
  </si>
  <si>
    <t>=300*B14</t>
  </si>
  <si>
    <t>=100*B15</t>
  </si>
  <si>
    <t>=(36000-35000)*£100</t>
  </si>
  <si>
    <t>Line Name</t>
  </si>
  <si>
    <t>X (VIP)</t>
  </si>
  <si>
    <t>Y (Regular)</t>
  </si>
  <si>
    <t>Capacity Line</t>
  </si>
  <si>
    <t>T-Shirt Line</t>
  </si>
  <si>
    <t>Reg Demand</t>
  </si>
  <si>
    <t>VIP Demand</t>
  </si>
  <si>
    <t>Optimal Point</t>
  </si>
  <si>
    <t>CONSTRAINTS CHECK                                                                                                           LIMIT                              STATUS                       FORMULA</t>
  </si>
  <si>
    <t>REVENUE CALCULATION                                                      REVENUE                       FORMULA</t>
  </si>
  <si>
    <t>SENSITIVITY ANALYSIS                                                                                                FORMULA</t>
  </si>
  <si>
    <t>INPUT DATA                                                                           VALUE</t>
  </si>
  <si>
    <t>Purple &amp; Red Line Meeting Point(9000,17000)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</si>
</sst>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1F497D"/>
        <bgColor rgb="FF1F497D"/>
      </patternFill>
    </fill>
    <fill>
      <patternFill patternType="solid">
        <fgColor rgb="FF70AD47"/>
        <bgColor rgb="FF70AD47"/>
      </patternFill>
    </fill>
    <fill>
      <patternFill patternType="solid">
        <fgColor rgb="FF0070C0"/>
        <bgColor rgb="FF0070C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D9E1F2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3" fontId="0" fillId="0" borderId="0" xfId="0" applyNumberFormat="1"/>
    <xf numFmtId="0" fontId="3" fillId="5" borderId="0" xfId="0" applyFont="1" applyFill="1"/>
    <xf numFmtId="0" fontId="2" fillId="4" borderId="0" xfId="0" applyFont="1" applyFill="1"/>
    <xf numFmtId="0" fontId="4" fillId="0" borderId="0" xfId="0" applyFont="1"/>
    <xf numFmtId="0" fontId="0" fillId="0" borderId="4" xfId="0" applyBorder="1"/>
    <xf numFmtId="0" fontId="5" fillId="0" borderId="3" xfId="0" applyFont="1" applyBorder="1" applyAlignment="1">
      <alignment horizontal="center"/>
    </xf>
    <xf numFmtId="0" fontId="0" fillId="0" borderId="5" xfId="0" applyBorder="1"/>
    <xf numFmtId="3" fontId="0" fillId="0" borderId="5" xfId="0" applyNumberFormat="1" applyBorder="1"/>
    <xf numFmtId="3" fontId="0" fillId="0" borderId="4" xfId="0" applyNumberForma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0" fillId="0" borderId="0" xfId="0" applyNumberFormat="1"/>
    <xf numFmtId="0" fontId="0" fillId="6" borderId="0" xfId="0" applyFill="1"/>
    <xf numFmtId="3" fontId="2" fillId="4" borderId="8" xfId="0" applyNumberFormat="1" applyFont="1" applyFill="1" applyBorder="1"/>
    <xf numFmtId="3" fontId="2" fillId="4" borderId="9" xfId="0" applyNumberFormat="1" applyFont="1" applyFill="1" applyBorder="1"/>
    <xf numFmtId="3" fontId="0" fillId="7" borderId="6" xfId="0" applyNumberFormat="1" applyFill="1" applyBorder="1"/>
    <xf numFmtId="0" fontId="0" fillId="6" borderId="6" xfId="0" applyFill="1" applyBorder="1"/>
    <xf numFmtId="3" fontId="0" fillId="6" borderId="6" xfId="0" applyNumberFormat="1" applyFill="1" applyBorder="1"/>
    <xf numFmtId="0" fontId="2" fillId="5" borderId="6" xfId="0" applyFont="1" applyFill="1" applyBorder="1"/>
    <xf numFmtId="49" fontId="0" fillId="0" borderId="0" xfId="0" applyNumberFormat="1" applyAlignment="1">
      <alignment horizontal="left"/>
    </xf>
    <xf numFmtId="0" fontId="7" fillId="0" borderId="10" xfId="0" applyFont="1" applyBorder="1" applyAlignment="1">
      <alignment horizontal="left" vertical="center" indent="1" readingOrder="1"/>
    </xf>
    <xf numFmtId="0" fontId="6" fillId="0" borderId="10" xfId="0" applyFont="1" applyBorder="1" applyAlignment="1">
      <alignment horizontal="left" vertical="center" indent="1" readingOrder="1"/>
    </xf>
    <xf numFmtId="0" fontId="6" fillId="0" borderId="11" xfId="0" applyFont="1" applyBorder="1" applyAlignment="1">
      <alignment horizontal="left" vertical="center" indent="1" readingOrder="1"/>
    </xf>
    <xf numFmtId="0" fontId="7" fillId="0" borderId="0" xfId="0" applyFont="1" applyAlignment="1">
      <alignment horizontal="right" vertical="center" wrapText="1" indent="1" readingOrder="1"/>
    </xf>
    <xf numFmtId="0" fontId="6" fillId="0" borderId="0" xfId="0" applyFont="1" applyAlignment="1">
      <alignment horizontal="right" vertical="center" wrapText="1" indent="1" readingOrder="1"/>
    </xf>
    <xf numFmtId="0" fontId="6" fillId="0" borderId="7" xfId="0" applyFont="1" applyBorder="1" applyAlignment="1">
      <alignment horizontal="left" vertical="center" indent="1" readingOrder="1"/>
    </xf>
    <xf numFmtId="0" fontId="6" fillId="0" borderId="12" xfId="0" applyFont="1" applyBorder="1" applyAlignment="1">
      <alignment horizontal="left" vertical="center" indent="1" readingOrder="1"/>
    </xf>
    <xf numFmtId="0" fontId="7" fillId="0" borderId="0" xfId="0" applyFont="1" applyAlignment="1">
      <alignment horizontal="left" vertical="center" indent="1" readingOrder="1"/>
    </xf>
    <xf numFmtId="0" fontId="0" fillId="8" borderId="7" xfId="0" applyFill="1" applyBorder="1"/>
    <xf numFmtId="3" fontId="0" fillId="0" borderId="13" xfId="0" applyNumberFormat="1" applyBorder="1"/>
    <xf numFmtId="0" fontId="7" fillId="9" borderId="10" xfId="0" applyFont="1" applyFill="1" applyBorder="1" applyAlignment="1">
      <alignment horizontal="left" vertical="center" indent="1" readingOrder="1"/>
    </xf>
    <xf numFmtId="0" fontId="7" fillId="8" borderId="10" xfId="0" applyFont="1" applyFill="1" applyBorder="1" applyAlignment="1">
      <alignment horizontal="left" vertical="center" indent="1" readingOrder="1"/>
    </xf>
    <xf numFmtId="0" fontId="7" fillId="10" borderId="11" xfId="0" applyFont="1" applyFill="1" applyBorder="1" applyAlignment="1">
      <alignment horizontal="left" vertical="center" indent="1" readingOrder="1"/>
    </xf>
    <xf numFmtId="0" fontId="7" fillId="11" borderId="10" xfId="0" applyFont="1" applyFill="1" applyBorder="1" applyAlignment="1">
      <alignment horizontal="left" vertical="center" indent="1" readingOrder="1"/>
    </xf>
    <xf numFmtId="0" fontId="2" fillId="3" borderId="0" xfId="0" applyFont="1" applyFill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none" baseline="0">
                <a:latin typeface="+mj-lt"/>
                <a:cs typeface="Times New Roman" panose="02020603050405020304" pitchFamily="18" charset="0"/>
              </a:rPr>
              <a:t>Feasible Region for BCFC Ticket Sales</a:t>
            </a:r>
            <a:endParaRPr lang="en-US">
              <a:latin typeface="+mj-lt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Capacity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BCFC_Solved!$H$22:$H$23</c:f>
              <c:numCache>
                <c:formatCode>General</c:formatCode>
                <c:ptCount val="2"/>
                <c:pt idx="0">
                  <c:v>0</c:v>
                </c:pt>
                <c:pt idx="1">
                  <c:v>27500</c:v>
                </c:pt>
              </c:numCache>
            </c:numRef>
          </c:xVal>
          <c:yVal>
            <c:numRef>
              <c:f>BCFC_Solved!$I$22:$I$23</c:f>
              <c:numCache>
                <c:formatCode>General</c:formatCode>
                <c:ptCount val="2"/>
                <c:pt idx="0">
                  <c:v>27500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35-4F36-BCAF-B8821CFE20C0}"/>
            </c:ext>
          </c:extLst>
        </c:ser>
        <c:ser>
          <c:idx val="1"/>
          <c:order val="1"/>
          <c:tx>
            <c:v>T-shirt Line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BCFC_Solved!$H$24:$H$25</c:f>
              <c:numCache>
                <c:formatCode>General</c:formatCode>
                <c:ptCount val="2"/>
                <c:pt idx="0">
                  <c:v>0</c:v>
                </c:pt>
                <c:pt idx="1">
                  <c:v>17500</c:v>
                </c:pt>
              </c:numCache>
            </c:numRef>
          </c:xVal>
          <c:yVal>
            <c:numRef>
              <c:f>BCFC_Solved!$I$24:$I$25</c:f>
              <c:numCache>
                <c:formatCode>General</c:formatCode>
                <c:ptCount val="2"/>
                <c:pt idx="0">
                  <c:v>35000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35-4F36-BCAF-B8821CFE20C0}"/>
            </c:ext>
          </c:extLst>
        </c:ser>
        <c:ser>
          <c:idx val="2"/>
          <c:order val="2"/>
          <c:tx>
            <c:v>Reg Demand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BCFC_Solved!$H$26:$H$27</c:f>
              <c:numCache>
                <c:formatCode>General</c:formatCode>
                <c:ptCount val="2"/>
                <c:pt idx="0">
                  <c:v>0</c:v>
                </c:pt>
                <c:pt idx="1">
                  <c:v>30000</c:v>
                </c:pt>
              </c:numCache>
            </c:numRef>
          </c:xVal>
          <c:yVal>
            <c:numRef>
              <c:f>BCFC_Solved!$I$26:$I$27</c:f>
              <c:numCache>
                <c:formatCode>General</c:formatCode>
                <c:ptCount val="2"/>
                <c:pt idx="0">
                  <c:v>25000</c:v>
                </c:pt>
                <c:pt idx="1">
                  <c:v>25000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35-4F36-BCAF-B8821CFE20C0}"/>
            </c:ext>
          </c:extLst>
        </c:ser>
        <c:ser>
          <c:idx val="3"/>
          <c:order val="3"/>
          <c:tx>
            <c:v>VIP Demand</c:v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BCFC_Solved!$H$28:$H$29</c:f>
              <c:numCache>
                <c:formatCode>General</c:formatCode>
                <c:ptCount val="2"/>
                <c:pt idx="0">
                  <c:v>9000</c:v>
                </c:pt>
                <c:pt idx="1">
                  <c:v>9000</c:v>
                </c:pt>
              </c:numCache>
            </c:numRef>
          </c:xVal>
          <c:yVal>
            <c:numRef>
              <c:f>BCFC_Solved!$I$28:$I$29</c:f>
              <c:numCache>
                <c:formatCode>General</c:formatCode>
                <c:ptCount val="2"/>
                <c:pt idx="0">
                  <c:v>0</c:v>
                </c:pt>
                <c:pt idx="1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635-4F36-BCAF-B8821CFE2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171232"/>
        <c:axId val="1560172192"/>
      </c:scatterChart>
      <c:valAx>
        <c:axId val="156017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172192"/>
        <c:crosses val="autoZero"/>
        <c:crossBetween val="midCat"/>
      </c:valAx>
      <c:valAx>
        <c:axId val="15601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17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18587</xdr:colOff>
      <xdr:row>0</xdr:row>
      <xdr:rowOff>111512</xdr:rowOff>
    </xdr:from>
    <xdr:to>
      <xdr:col>15</xdr:col>
      <xdr:colOff>399586</xdr:colOff>
      <xdr:row>18</xdr:row>
      <xdr:rowOff>158905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E0137E-7246-C97E-FCA0-0E9095925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zoomScale="85" zoomScaleNormal="80" workbookViewId="0">
      <selection activeCell="L24" sqref="L24"/>
    </sheetView>
  </sheetViews>
  <sheetFormatPr defaultRowHeight="14.4" x14ac:dyDescent="0.3"/>
  <cols>
    <col min="1" max="1" width="35" customWidth="1"/>
    <col min="2" max="3" width="20" customWidth="1"/>
    <col min="4" max="4" width="15" customWidth="1"/>
    <col min="5" max="5" width="30.109375" customWidth="1"/>
    <col min="7" max="7" width="15.6640625" bestFit="1" customWidth="1"/>
    <col min="9" max="9" width="13.33203125" bestFit="1" customWidth="1"/>
    <col min="11" max="11" width="12.88671875" customWidth="1"/>
    <col min="12" max="12" width="39.88671875" bestFit="1" customWidth="1"/>
    <col min="13" max="13" width="8.88671875" customWidth="1"/>
  </cols>
  <sheetData>
    <row r="1" spans="1:5" ht="17.399999999999999" x14ac:dyDescent="0.35">
      <c r="A1" s="37" t="s">
        <v>96</v>
      </c>
      <c r="B1" s="36"/>
      <c r="C1" s="36"/>
      <c r="D1" s="36"/>
      <c r="E1" s="36"/>
    </row>
    <row r="3" spans="1:5" x14ac:dyDescent="0.3">
      <c r="A3" s="35" t="s">
        <v>113</v>
      </c>
      <c r="B3" s="36"/>
      <c r="C3" s="36"/>
      <c r="D3" s="36"/>
      <c r="E3" s="36"/>
    </row>
    <row r="4" spans="1:5" x14ac:dyDescent="0.3">
      <c r="A4" t="s">
        <v>0</v>
      </c>
      <c r="B4" s="16">
        <v>350</v>
      </c>
      <c r="C4" s="17" t="s">
        <v>1</v>
      </c>
    </row>
    <row r="5" spans="1:5" x14ac:dyDescent="0.3">
      <c r="A5" t="s">
        <v>2</v>
      </c>
      <c r="B5" s="16">
        <v>100</v>
      </c>
      <c r="C5" s="17" t="s">
        <v>1</v>
      </c>
      <c r="E5" s="17" t="s">
        <v>27</v>
      </c>
    </row>
    <row r="6" spans="1:5" x14ac:dyDescent="0.3">
      <c r="A6" t="s">
        <v>3</v>
      </c>
      <c r="B6" s="16">
        <v>27500</v>
      </c>
      <c r="C6" s="17" t="s">
        <v>4</v>
      </c>
      <c r="E6" s="17" t="s">
        <v>93</v>
      </c>
    </row>
    <row r="7" spans="1:5" x14ac:dyDescent="0.3">
      <c r="A7" t="s">
        <v>5</v>
      </c>
      <c r="B7" s="16">
        <v>9000</v>
      </c>
      <c r="C7" s="17" t="s">
        <v>4</v>
      </c>
      <c r="E7" s="17" t="s">
        <v>94</v>
      </c>
    </row>
    <row r="8" spans="1:5" x14ac:dyDescent="0.3">
      <c r="A8" t="s">
        <v>6</v>
      </c>
      <c r="B8" s="16">
        <v>25000</v>
      </c>
      <c r="C8" s="17" t="s">
        <v>4</v>
      </c>
      <c r="E8" s="17" t="s">
        <v>95</v>
      </c>
    </row>
    <row r="9" spans="1:5" x14ac:dyDescent="0.3">
      <c r="A9" t="s">
        <v>7</v>
      </c>
      <c r="B9" s="16">
        <v>2</v>
      </c>
      <c r="C9" s="17" t="s">
        <v>8</v>
      </c>
      <c r="E9" s="17" t="s">
        <v>97</v>
      </c>
    </row>
    <row r="10" spans="1:5" x14ac:dyDescent="0.3">
      <c r="A10" t="s">
        <v>9</v>
      </c>
      <c r="B10" s="16">
        <v>1</v>
      </c>
      <c r="C10" s="17" t="s">
        <v>8</v>
      </c>
    </row>
    <row r="11" spans="1:5" x14ac:dyDescent="0.3">
      <c r="A11" t="s">
        <v>10</v>
      </c>
      <c r="B11" s="16">
        <v>35000</v>
      </c>
      <c r="C11" s="17" t="s">
        <v>8</v>
      </c>
      <c r="E11" s="17" t="s">
        <v>92</v>
      </c>
    </row>
    <row r="13" spans="1:5" ht="15" thickBot="1" x14ac:dyDescent="0.35">
      <c r="A13" s="35" t="s">
        <v>98</v>
      </c>
      <c r="B13" s="36"/>
      <c r="C13" s="36"/>
      <c r="D13" s="36"/>
      <c r="E13" s="36"/>
    </row>
    <row r="14" spans="1:5" x14ac:dyDescent="0.3">
      <c r="A14" t="s">
        <v>11</v>
      </c>
      <c r="B14" s="14">
        <v>9000</v>
      </c>
    </row>
    <row r="15" spans="1:5" ht="15" thickBot="1" x14ac:dyDescent="0.35">
      <c r="A15" t="s">
        <v>12</v>
      </c>
      <c r="B15" s="15">
        <v>17000</v>
      </c>
    </row>
    <row r="17" spans="1:12" x14ac:dyDescent="0.3">
      <c r="A17" s="35" t="s">
        <v>110</v>
      </c>
      <c r="B17" s="36"/>
      <c r="C17" s="36"/>
      <c r="D17" s="36"/>
      <c r="E17" s="36"/>
    </row>
    <row r="18" spans="1:12" x14ac:dyDescent="0.3">
      <c r="A18" t="s">
        <v>13</v>
      </c>
      <c r="B18" s="18">
        <f>B14+B15</f>
        <v>26000</v>
      </c>
      <c r="C18" s="1">
        <v>27500</v>
      </c>
      <c r="D18" t="s">
        <v>79</v>
      </c>
      <c r="E18" s="12" t="s">
        <v>87</v>
      </c>
    </row>
    <row r="19" spans="1:12" x14ac:dyDescent="0.3">
      <c r="A19" t="s">
        <v>14</v>
      </c>
      <c r="B19" s="18">
        <f>B14</f>
        <v>9000</v>
      </c>
      <c r="C19" s="1">
        <v>9000</v>
      </c>
      <c r="D19" t="s">
        <v>15</v>
      </c>
      <c r="E19" s="12" t="s">
        <v>88</v>
      </c>
    </row>
    <row r="20" spans="1:12" ht="15" thickBot="1" x14ac:dyDescent="0.35">
      <c r="A20" t="s">
        <v>16</v>
      </c>
      <c r="B20" s="18">
        <f>B15</f>
        <v>17000</v>
      </c>
      <c r="C20" s="1">
        <v>25000</v>
      </c>
      <c r="D20" t="s">
        <v>79</v>
      </c>
      <c r="E20" s="12" t="s">
        <v>89</v>
      </c>
    </row>
    <row r="21" spans="1:12" ht="15" thickBot="1" x14ac:dyDescent="0.35">
      <c r="A21" t="s">
        <v>17</v>
      </c>
      <c r="B21" s="18">
        <f>2*B14+B15</f>
        <v>35000</v>
      </c>
      <c r="C21" s="1">
        <v>35000</v>
      </c>
      <c r="D21" t="s">
        <v>15</v>
      </c>
      <c r="E21" s="12" t="s">
        <v>90</v>
      </c>
      <c r="G21" s="21" t="s">
        <v>102</v>
      </c>
      <c r="H21" s="21" t="s">
        <v>103</v>
      </c>
      <c r="I21" s="21" t="s">
        <v>104</v>
      </c>
      <c r="L21" s="28"/>
    </row>
    <row r="22" spans="1:12" ht="15" thickBot="1" x14ac:dyDescent="0.35">
      <c r="G22" s="31" t="s">
        <v>105</v>
      </c>
      <c r="H22" s="22">
        <v>0</v>
      </c>
      <c r="I22" s="22">
        <v>27500</v>
      </c>
      <c r="K22" s="29" t="s">
        <v>109</v>
      </c>
      <c r="L22" s="30" t="s">
        <v>114</v>
      </c>
    </row>
    <row r="23" spans="1:12" ht="15" thickBot="1" x14ac:dyDescent="0.35">
      <c r="A23" s="35" t="s">
        <v>111</v>
      </c>
      <c r="B23" s="36"/>
      <c r="C23" s="36"/>
      <c r="D23" s="36"/>
      <c r="E23" s="36"/>
      <c r="G23" s="22" t="s">
        <v>105</v>
      </c>
      <c r="H23" s="22">
        <v>27500</v>
      </c>
      <c r="I23" s="22">
        <v>0</v>
      </c>
    </row>
    <row r="24" spans="1:12" ht="15" thickBot="1" x14ac:dyDescent="0.35">
      <c r="A24" t="s">
        <v>18</v>
      </c>
      <c r="B24" s="17">
        <f>350*B14</f>
        <v>3150000</v>
      </c>
      <c r="C24" s="12" t="s">
        <v>99</v>
      </c>
      <c r="G24" s="34" t="s">
        <v>106</v>
      </c>
      <c r="H24" s="22">
        <v>0</v>
      </c>
      <c r="I24" s="22">
        <v>35000</v>
      </c>
    </row>
    <row r="25" spans="1:12" ht="15" thickBot="1" x14ac:dyDescent="0.35">
      <c r="A25" t="s">
        <v>19</v>
      </c>
      <c r="B25" s="17">
        <f>100*B15</f>
        <v>1700000</v>
      </c>
      <c r="C25" s="12" t="s">
        <v>100</v>
      </c>
      <c r="G25" s="22" t="s">
        <v>106</v>
      </c>
      <c r="H25" s="22">
        <v>17500</v>
      </c>
      <c r="I25" s="22">
        <v>0</v>
      </c>
    </row>
    <row r="26" spans="1:12" ht="16.2" thickBot="1" x14ac:dyDescent="0.35">
      <c r="A26" s="2" t="s">
        <v>20</v>
      </c>
      <c r="B26" s="19">
        <f>B24+B25</f>
        <v>4850000</v>
      </c>
      <c r="C26" s="20" t="s">
        <v>86</v>
      </c>
      <c r="G26" s="32" t="s">
        <v>107</v>
      </c>
      <c r="H26" s="22">
        <v>0</v>
      </c>
      <c r="I26" s="22">
        <v>25000</v>
      </c>
    </row>
    <row r="27" spans="1:12" ht="15" thickBot="1" x14ac:dyDescent="0.35">
      <c r="G27" s="22" t="s">
        <v>107</v>
      </c>
      <c r="H27" s="22">
        <v>30000</v>
      </c>
      <c r="I27" s="22">
        <v>25000</v>
      </c>
    </row>
    <row r="28" spans="1:12" ht="15" thickBot="1" x14ac:dyDescent="0.35">
      <c r="A28" s="35" t="s">
        <v>112</v>
      </c>
      <c r="B28" s="36"/>
      <c r="C28" s="36"/>
      <c r="D28" s="36"/>
      <c r="E28" s="36"/>
      <c r="G28" s="33" t="s">
        <v>108</v>
      </c>
      <c r="H28" s="23">
        <v>9000</v>
      </c>
      <c r="I28" s="23">
        <v>0</v>
      </c>
    </row>
    <row r="29" spans="1:12" ht="15" thickBot="1" x14ac:dyDescent="0.35">
      <c r="A29" t="s">
        <v>21</v>
      </c>
      <c r="B29" s="3" t="s">
        <v>91</v>
      </c>
      <c r="G29" s="26" t="s">
        <v>108</v>
      </c>
      <c r="H29" s="27">
        <v>9000</v>
      </c>
      <c r="I29" s="26">
        <v>40000</v>
      </c>
    </row>
    <row r="30" spans="1:12" x14ac:dyDescent="0.3">
      <c r="A30" t="s">
        <v>22</v>
      </c>
      <c r="B30" s="3" t="s">
        <v>23</v>
      </c>
      <c r="C30" s="12" t="s">
        <v>101</v>
      </c>
      <c r="G30" s="24"/>
      <c r="H30" s="25"/>
      <c r="I30" s="25"/>
    </row>
    <row r="31" spans="1:12" x14ac:dyDescent="0.3">
      <c r="G31" s="24"/>
      <c r="H31" s="24"/>
      <c r="I31" s="24"/>
    </row>
    <row r="32" spans="1:12" x14ac:dyDescent="0.3">
      <c r="A32" s="35" t="s">
        <v>24</v>
      </c>
      <c r="B32" s="36"/>
      <c r="C32" s="36"/>
      <c r="D32" s="36"/>
      <c r="E32" s="36"/>
    </row>
    <row r="33" spans="1:5" x14ac:dyDescent="0.3">
      <c r="A33" s="13" t="s">
        <v>25</v>
      </c>
      <c r="B33" s="13" t="s">
        <v>26</v>
      </c>
      <c r="C33" s="13"/>
      <c r="D33" s="13"/>
      <c r="E33" s="13"/>
    </row>
  </sheetData>
  <mergeCells count="7">
    <mergeCell ref="A28:E28"/>
    <mergeCell ref="A1:E1"/>
    <mergeCell ref="A23:E23"/>
    <mergeCell ref="A32:E32"/>
    <mergeCell ref="A13:E13"/>
    <mergeCell ref="A17:E17"/>
    <mergeCell ref="A3:E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D742-DF17-42DC-A375-FBCDF9934534}">
  <dimension ref="A1:G30"/>
  <sheetViews>
    <sheetView showGridLines="0" topLeftCell="A2" zoomScale="86" workbookViewId="0"/>
  </sheetViews>
  <sheetFormatPr defaultRowHeight="14.4" x14ac:dyDescent="0.3"/>
  <cols>
    <col min="1" max="1" width="2.33203125" customWidth="1"/>
    <col min="2" max="2" width="6.109375" bestFit="1" customWidth="1"/>
    <col min="3" max="3" width="16" bestFit="1" customWidth="1"/>
    <col min="4" max="4" width="12.6640625" bestFit="1" customWidth="1"/>
    <col min="5" max="5" width="13.21875" bestFit="1" customWidth="1"/>
    <col min="6" max="6" width="10.44140625" bestFit="1" customWidth="1"/>
    <col min="7" max="7" width="5.33203125" bestFit="1" customWidth="1"/>
  </cols>
  <sheetData>
    <row r="1" spans="1:5" x14ac:dyDescent="0.3">
      <c r="A1" s="4" t="s">
        <v>28</v>
      </c>
    </row>
    <row r="2" spans="1:5" x14ac:dyDescent="0.3">
      <c r="A2" s="4" t="s">
        <v>29</v>
      </c>
    </row>
    <row r="3" spans="1:5" x14ac:dyDescent="0.3">
      <c r="A3" s="4" t="s">
        <v>80</v>
      </c>
    </row>
    <row r="4" spans="1:5" x14ac:dyDescent="0.3">
      <c r="A4" s="4" t="s">
        <v>30</v>
      </c>
    </row>
    <row r="5" spans="1:5" x14ac:dyDescent="0.3">
      <c r="A5" s="4" t="s">
        <v>31</v>
      </c>
    </row>
    <row r="6" spans="1:5" x14ac:dyDescent="0.3">
      <c r="A6" s="4"/>
      <c r="B6" t="s">
        <v>32</v>
      </c>
    </row>
    <row r="7" spans="1:5" x14ac:dyDescent="0.3">
      <c r="A7" s="4"/>
      <c r="B7" t="s">
        <v>81</v>
      </c>
    </row>
    <row r="8" spans="1:5" x14ac:dyDescent="0.3">
      <c r="A8" s="4"/>
      <c r="B8" t="s">
        <v>33</v>
      </c>
    </row>
    <row r="9" spans="1:5" x14ac:dyDescent="0.3">
      <c r="A9" s="4" t="s">
        <v>34</v>
      </c>
    </row>
    <row r="10" spans="1:5" x14ac:dyDescent="0.3">
      <c r="B10" t="s">
        <v>35</v>
      </c>
    </row>
    <row r="11" spans="1:5" x14ac:dyDescent="0.3">
      <c r="B11" t="s">
        <v>36</v>
      </c>
    </row>
    <row r="14" spans="1:5" ht="15" thickBot="1" x14ac:dyDescent="0.35">
      <c r="A14" t="s">
        <v>37</v>
      </c>
    </row>
    <row r="15" spans="1:5" ht="15" thickBot="1" x14ac:dyDescent="0.35">
      <c r="B15" s="6" t="s">
        <v>38</v>
      </c>
      <c r="C15" s="6" t="s">
        <v>39</v>
      </c>
      <c r="D15" s="6" t="s">
        <v>40</v>
      </c>
      <c r="E15" s="6" t="s">
        <v>41</v>
      </c>
    </row>
    <row r="16" spans="1:5" ht="15" thickBot="1" x14ac:dyDescent="0.35">
      <c r="B16" s="5" t="s">
        <v>49</v>
      </c>
      <c r="C16" s="5" t="s">
        <v>20</v>
      </c>
      <c r="D16" s="5">
        <v>4000000</v>
      </c>
      <c r="E16" s="5">
        <v>4850000</v>
      </c>
    </row>
    <row r="19" spans="1:7" ht="15" thickBot="1" x14ac:dyDescent="0.35">
      <c r="A19" t="s">
        <v>42</v>
      </c>
    </row>
    <row r="20" spans="1:7" ht="15" thickBot="1" x14ac:dyDescent="0.35">
      <c r="B20" s="6" t="s">
        <v>38</v>
      </c>
      <c r="C20" s="6" t="s">
        <v>39</v>
      </c>
      <c r="D20" s="6" t="s">
        <v>40</v>
      </c>
      <c r="E20" s="6" t="s">
        <v>41</v>
      </c>
      <c r="F20" s="6" t="s">
        <v>43</v>
      </c>
    </row>
    <row r="21" spans="1:7" x14ac:dyDescent="0.3">
      <c r="B21" s="7" t="s">
        <v>50</v>
      </c>
      <c r="C21" s="7" t="s">
        <v>11</v>
      </c>
      <c r="D21" s="8">
        <v>9000</v>
      </c>
      <c r="E21" s="8">
        <v>9000</v>
      </c>
      <c r="F21" s="7" t="s">
        <v>51</v>
      </c>
    </row>
    <row r="22" spans="1:7" ht="15" thickBot="1" x14ac:dyDescent="0.35">
      <c r="B22" s="5" t="s">
        <v>52</v>
      </c>
      <c r="C22" s="5" t="s">
        <v>12</v>
      </c>
      <c r="D22" s="9">
        <v>8500</v>
      </c>
      <c r="E22" s="9">
        <v>17000</v>
      </c>
      <c r="F22" s="5" t="s">
        <v>51</v>
      </c>
    </row>
    <row r="25" spans="1:7" ht="15" thickBot="1" x14ac:dyDescent="0.35">
      <c r="A25" t="s">
        <v>44</v>
      </c>
    </row>
    <row r="26" spans="1:7" ht="15" thickBot="1" x14ac:dyDescent="0.35">
      <c r="B26" s="6" t="s">
        <v>38</v>
      </c>
      <c r="C26" s="6" t="s">
        <v>39</v>
      </c>
      <c r="D26" s="6" t="s">
        <v>45</v>
      </c>
      <c r="E26" s="6" t="s">
        <v>46</v>
      </c>
      <c r="F26" s="6" t="s">
        <v>47</v>
      </c>
      <c r="G26" s="6" t="s">
        <v>48</v>
      </c>
    </row>
    <row r="27" spans="1:7" x14ac:dyDescent="0.3">
      <c r="B27" s="7" t="s">
        <v>53</v>
      </c>
      <c r="C27" s="7" t="s">
        <v>13</v>
      </c>
      <c r="D27" s="8">
        <v>26000</v>
      </c>
      <c r="E27" s="7" t="s">
        <v>82</v>
      </c>
      <c r="F27" s="7" t="s">
        <v>54</v>
      </c>
      <c r="G27" s="7">
        <v>1500</v>
      </c>
    </row>
    <row r="28" spans="1:7" x14ac:dyDescent="0.3">
      <c r="B28" s="7" t="s">
        <v>55</v>
      </c>
      <c r="C28" s="7" t="s">
        <v>14</v>
      </c>
      <c r="D28" s="8">
        <v>9000</v>
      </c>
      <c r="E28" s="7" t="s">
        <v>83</v>
      </c>
      <c r="F28" s="7" t="s">
        <v>56</v>
      </c>
      <c r="G28" s="7">
        <v>0</v>
      </c>
    </row>
    <row r="29" spans="1:7" x14ac:dyDescent="0.3">
      <c r="B29" s="7" t="s">
        <v>57</v>
      </c>
      <c r="C29" s="7" t="s">
        <v>16</v>
      </c>
      <c r="D29" s="8">
        <v>17000</v>
      </c>
      <c r="E29" s="7" t="s">
        <v>84</v>
      </c>
      <c r="F29" s="7" t="s">
        <v>54</v>
      </c>
      <c r="G29" s="7">
        <v>8000</v>
      </c>
    </row>
    <row r="30" spans="1:7" ht="15" thickBot="1" x14ac:dyDescent="0.35">
      <c r="B30" s="5" t="s">
        <v>58</v>
      </c>
      <c r="C30" s="5" t="s">
        <v>17</v>
      </c>
      <c r="D30" s="9">
        <v>35000</v>
      </c>
      <c r="E30" s="5" t="s">
        <v>85</v>
      </c>
      <c r="F30" s="5" t="s">
        <v>56</v>
      </c>
      <c r="G30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6BDD-8B2D-4E49-BBD3-64FBD9160DAE}">
  <dimension ref="A1:H18"/>
  <sheetViews>
    <sheetView showGridLines="0" workbookViewId="0">
      <selection activeCell="I28" sqref="I28"/>
    </sheetView>
  </sheetViews>
  <sheetFormatPr defaultRowHeight="14.4" x14ac:dyDescent="0.3"/>
  <cols>
    <col min="1" max="1" width="2.33203125" customWidth="1"/>
    <col min="2" max="2" width="6.109375" bestFit="1" customWidth="1"/>
    <col min="3" max="3" width="16" bestFit="1" customWidth="1"/>
    <col min="4" max="4" width="6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4" t="s">
        <v>59</v>
      </c>
    </row>
    <row r="2" spans="1:8" x14ac:dyDescent="0.3">
      <c r="A2" s="4" t="s">
        <v>29</v>
      </c>
    </row>
    <row r="3" spans="1:8" x14ac:dyDescent="0.3">
      <c r="A3" s="4" t="s">
        <v>80</v>
      </c>
    </row>
    <row r="6" spans="1:8" ht="15" thickBot="1" x14ac:dyDescent="0.35">
      <c r="A6" t="s">
        <v>42</v>
      </c>
    </row>
    <row r="7" spans="1:8" x14ac:dyDescent="0.3">
      <c r="B7" s="10"/>
      <c r="C7" s="10"/>
      <c r="D7" s="10" t="s">
        <v>60</v>
      </c>
      <c r="E7" s="10" t="s">
        <v>62</v>
      </c>
      <c r="F7" s="10" t="s">
        <v>64</v>
      </c>
      <c r="G7" s="10" t="s">
        <v>66</v>
      </c>
      <c r="H7" s="10" t="s">
        <v>66</v>
      </c>
    </row>
    <row r="8" spans="1:8" ht="15" thickBot="1" x14ac:dyDescent="0.35">
      <c r="B8" s="11" t="s">
        <v>38</v>
      </c>
      <c r="C8" s="11" t="s">
        <v>39</v>
      </c>
      <c r="D8" s="11" t="s">
        <v>61</v>
      </c>
      <c r="E8" s="11" t="s">
        <v>63</v>
      </c>
      <c r="F8" s="11" t="s">
        <v>65</v>
      </c>
      <c r="G8" s="11" t="s">
        <v>67</v>
      </c>
      <c r="H8" s="11" t="s">
        <v>68</v>
      </c>
    </row>
    <row r="9" spans="1:8" x14ac:dyDescent="0.3">
      <c r="B9" s="7" t="s">
        <v>50</v>
      </c>
      <c r="C9" s="7" t="s">
        <v>11</v>
      </c>
      <c r="D9" s="7">
        <v>9000</v>
      </c>
      <c r="E9" s="7">
        <v>0</v>
      </c>
      <c r="F9" s="7">
        <v>350</v>
      </c>
      <c r="G9" s="7">
        <v>1E+30</v>
      </c>
      <c r="H9" s="7">
        <v>150</v>
      </c>
    </row>
    <row r="10" spans="1:8" ht="15" thickBot="1" x14ac:dyDescent="0.35">
      <c r="B10" s="5" t="s">
        <v>52</v>
      </c>
      <c r="C10" s="5" t="s">
        <v>12</v>
      </c>
      <c r="D10" s="5">
        <v>17000</v>
      </c>
      <c r="E10" s="5">
        <v>0</v>
      </c>
      <c r="F10" s="5">
        <v>100</v>
      </c>
      <c r="G10" s="5">
        <v>75</v>
      </c>
      <c r="H10" s="5">
        <v>100</v>
      </c>
    </row>
    <row r="12" spans="1:8" ht="15" thickBot="1" x14ac:dyDescent="0.35">
      <c r="A12" t="s">
        <v>44</v>
      </c>
    </row>
    <row r="13" spans="1:8" x14ac:dyDescent="0.3">
      <c r="B13" s="10"/>
      <c r="C13" s="10"/>
      <c r="D13" s="10" t="s">
        <v>60</v>
      </c>
      <c r="E13" s="10" t="s">
        <v>69</v>
      </c>
      <c r="F13" s="10" t="s">
        <v>71</v>
      </c>
      <c r="G13" s="10" t="s">
        <v>66</v>
      </c>
      <c r="H13" s="10" t="s">
        <v>66</v>
      </c>
    </row>
    <row r="14" spans="1:8" ht="15" thickBot="1" x14ac:dyDescent="0.35">
      <c r="B14" s="11" t="s">
        <v>38</v>
      </c>
      <c r="C14" s="11" t="s">
        <v>39</v>
      </c>
      <c r="D14" s="11" t="s">
        <v>61</v>
      </c>
      <c r="E14" s="11" t="s">
        <v>70</v>
      </c>
      <c r="F14" s="11" t="s">
        <v>72</v>
      </c>
      <c r="G14" s="11" t="s">
        <v>67</v>
      </c>
      <c r="H14" s="11" t="s">
        <v>68</v>
      </c>
    </row>
    <row r="15" spans="1:8" x14ac:dyDescent="0.3">
      <c r="B15" s="7" t="s">
        <v>53</v>
      </c>
      <c r="C15" s="7" t="s">
        <v>13</v>
      </c>
      <c r="D15" s="7">
        <v>26000</v>
      </c>
      <c r="E15" s="7">
        <v>0</v>
      </c>
      <c r="F15" s="7">
        <v>27500</v>
      </c>
      <c r="G15" s="7">
        <v>1E+30</v>
      </c>
      <c r="H15" s="7">
        <v>1500</v>
      </c>
    </row>
    <row r="16" spans="1:8" x14ac:dyDescent="0.3">
      <c r="B16" s="7" t="s">
        <v>55</v>
      </c>
      <c r="C16" s="7" t="s">
        <v>14</v>
      </c>
      <c r="D16" s="7">
        <v>9000</v>
      </c>
      <c r="E16" s="7">
        <v>150</v>
      </c>
      <c r="F16" s="7">
        <v>9000</v>
      </c>
      <c r="G16" s="7">
        <v>8500</v>
      </c>
      <c r="H16" s="7">
        <v>1500</v>
      </c>
    </row>
    <row r="17" spans="2:8" x14ac:dyDescent="0.3">
      <c r="B17" s="7" t="s">
        <v>57</v>
      </c>
      <c r="C17" s="7" t="s">
        <v>16</v>
      </c>
      <c r="D17" s="7">
        <v>17000</v>
      </c>
      <c r="E17" s="7">
        <v>0</v>
      </c>
      <c r="F17" s="7">
        <v>25000</v>
      </c>
      <c r="G17" s="7">
        <v>1E+30</v>
      </c>
      <c r="H17" s="7">
        <v>8000</v>
      </c>
    </row>
    <row r="18" spans="2:8" ht="15" thickBot="1" x14ac:dyDescent="0.35">
      <c r="B18" s="5" t="s">
        <v>58</v>
      </c>
      <c r="C18" s="5" t="s">
        <v>17</v>
      </c>
      <c r="D18" s="5">
        <v>35000</v>
      </c>
      <c r="E18" s="5">
        <v>100</v>
      </c>
      <c r="F18" s="5">
        <v>35000</v>
      </c>
      <c r="G18" s="5">
        <v>1500</v>
      </c>
      <c r="H18" s="5">
        <v>17000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6EF3-C4CB-4319-A960-330379C48A01}">
  <dimension ref="A1:J14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16" bestFit="1" customWidth="1"/>
    <col min="4" max="4" width="8" bestFit="1" customWidth="1"/>
    <col min="5" max="5" width="2.33203125" customWidth="1"/>
    <col min="6" max="6" width="6.109375" bestFit="1" customWidth="1"/>
    <col min="7" max="7" width="9" bestFit="1" customWidth="1"/>
    <col min="8" max="8" width="2.33203125" customWidth="1"/>
    <col min="9" max="9" width="6.44140625" bestFit="1" customWidth="1"/>
    <col min="10" max="10" width="9" bestFit="1" customWidth="1"/>
  </cols>
  <sheetData>
    <row r="1" spans="1:10" x14ac:dyDescent="0.3">
      <c r="A1" s="4" t="s">
        <v>73</v>
      </c>
    </row>
    <row r="2" spans="1:10" x14ac:dyDescent="0.3">
      <c r="A2" s="4" t="s">
        <v>29</v>
      </c>
    </row>
    <row r="3" spans="1:10" x14ac:dyDescent="0.3">
      <c r="A3" s="4" t="s">
        <v>80</v>
      </c>
    </row>
    <row r="5" spans="1:10" ht="15" thickBot="1" x14ac:dyDescent="0.35"/>
    <row r="6" spans="1:10" x14ac:dyDescent="0.3">
      <c r="B6" s="10"/>
      <c r="C6" s="10" t="s">
        <v>64</v>
      </c>
      <c r="D6" s="10"/>
    </row>
    <row r="7" spans="1:10" ht="15" thickBot="1" x14ac:dyDescent="0.35">
      <c r="B7" s="11" t="s">
        <v>38</v>
      </c>
      <c r="C7" s="11" t="s">
        <v>39</v>
      </c>
      <c r="D7" s="11" t="s">
        <v>61</v>
      </c>
    </row>
    <row r="8" spans="1:10" ht="15" thickBot="1" x14ac:dyDescent="0.35">
      <c r="B8" s="5" t="s">
        <v>49</v>
      </c>
      <c r="C8" s="5" t="s">
        <v>20</v>
      </c>
      <c r="D8" s="5">
        <v>4850000</v>
      </c>
    </row>
    <row r="10" spans="1:10" ht="15" thickBot="1" x14ac:dyDescent="0.35"/>
    <row r="11" spans="1:10" x14ac:dyDescent="0.3">
      <c r="B11" s="10"/>
      <c r="C11" s="10" t="s">
        <v>74</v>
      </c>
      <c r="D11" s="10"/>
      <c r="F11" s="10" t="s">
        <v>75</v>
      </c>
      <c r="G11" s="10" t="s">
        <v>64</v>
      </c>
      <c r="I11" s="10" t="s">
        <v>78</v>
      </c>
      <c r="J11" s="10" t="s">
        <v>64</v>
      </c>
    </row>
    <row r="12" spans="1:10" ht="15" thickBot="1" x14ac:dyDescent="0.35">
      <c r="B12" s="11" t="s">
        <v>38</v>
      </c>
      <c r="C12" s="11" t="s">
        <v>39</v>
      </c>
      <c r="D12" s="11" t="s">
        <v>61</v>
      </c>
      <c r="F12" s="11" t="s">
        <v>76</v>
      </c>
      <c r="G12" s="11" t="s">
        <v>77</v>
      </c>
      <c r="I12" s="11" t="s">
        <v>76</v>
      </c>
      <c r="J12" s="11" t="s">
        <v>77</v>
      </c>
    </row>
    <row r="13" spans="1:10" x14ac:dyDescent="0.3">
      <c r="B13" s="7" t="s">
        <v>50</v>
      </c>
      <c r="C13" s="7" t="s">
        <v>11</v>
      </c>
      <c r="D13" s="8">
        <v>9000</v>
      </c>
      <c r="F13" s="8">
        <v>0</v>
      </c>
      <c r="G13" s="8">
        <v>1700000</v>
      </c>
      <c r="I13" s="8">
        <v>9000</v>
      </c>
      <c r="J13" s="8">
        <v>4850000</v>
      </c>
    </row>
    <row r="14" spans="1:10" ht="15" thickBot="1" x14ac:dyDescent="0.35">
      <c r="B14" s="5" t="s">
        <v>52</v>
      </c>
      <c r="C14" s="5" t="s">
        <v>12</v>
      </c>
      <c r="D14" s="9">
        <v>17000</v>
      </c>
      <c r="F14" s="9">
        <v>0</v>
      </c>
      <c r="G14" s="9">
        <v>3150000</v>
      </c>
      <c r="I14" s="9">
        <v>17000</v>
      </c>
      <c r="J14" s="9">
        <v>4850000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BCFC_Solved</vt:lpstr>
      <vt:lpstr>Answer Report 1</vt:lpstr>
      <vt:lpstr>Sensitivity Report 1</vt:lpstr>
      <vt:lpstr>Limits 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BADIGER</cp:lastModifiedBy>
  <dcterms:created xsi:type="dcterms:W3CDTF">2025-12-02T23:22:05Z</dcterms:created>
  <dcterms:modified xsi:type="dcterms:W3CDTF">2026-03-20T12:26:12Z</dcterms:modified>
</cp:coreProperties>
</file>